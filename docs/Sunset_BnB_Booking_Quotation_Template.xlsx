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irfanrehman/Library/Mobile Documents/com~apple~CloudDocs/Sunset BnB/Corporate Rates/"/>
    </mc:Choice>
  </mc:AlternateContent>
  <xr:revisionPtr revIDLastSave="0" documentId="8_{D8FA88C6-1F05-9748-A593-DF471C36BC32}" xr6:coauthVersionLast="36" xr6:coauthVersionMax="36" xr10:uidLastSave="{00000000-0000-0000-0000-000000000000}"/>
  <bookViews>
    <workbookView xWindow="0" yWindow="520" windowWidth="22940" windowHeight="14380" tabRatio="500" xr2:uid="{00000000-000D-0000-FFFF-FFFF00000000}"/>
  </bookViews>
  <sheets>
    <sheet name="Booking Quotation" sheetId="1" r:id="rId1"/>
    <sheet name="Terms &amp; Conditions" sheetId="2" r:id="rId2"/>
  </sheets>
  <definedNames>
    <definedName name="_xlnm.Print_Area" localSheetId="0">'Booking Quotation'!$B$2:$F$44</definedName>
    <definedName name="_xlnm.Print_Area" localSheetId="1">'Terms &amp; Conditions'!$A$1:$A$36</definedName>
  </definedName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33" i="1" l="1"/>
  <c r="F27" i="1"/>
  <c r="F26" i="1"/>
  <c r="F25" i="1"/>
  <c r="F24" i="1"/>
  <c r="F23" i="1"/>
  <c r="F22" i="1"/>
  <c r="F21" i="1"/>
  <c r="D18" i="1"/>
  <c r="F28" i="1" l="1"/>
  <c r="F30" i="1" l="1"/>
  <c r="F31" i="1"/>
  <c r="F32" i="1"/>
  <c r="F33" i="1" s="1"/>
</calcChain>
</file>

<file path=xl/sharedStrings.xml><?xml version="1.0" encoding="utf-8"?>
<sst xmlns="http://schemas.openxmlformats.org/spreadsheetml/2006/main" count="94" uniqueCount="71">
  <si>
    <t>Sunset BnB Creek</t>
  </si>
  <si>
    <t>Booking Quotation</t>
  </si>
  <si>
    <t>GUEST DETAILS</t>
  </si>
  <si>
    <t>To:</t>
  </si>
  <si>
    <t>Mr. M. ABBAS SAJID</t>
  </si>
  <si>
    <t>Address:</t>
  </si>
  <si>
    <t>DHA Phase 5</t>
  </si>
  <si>
    <t>Phone:</t>
  </si>
  <si>
    <t>+92 300 8233368</t>
  </si>
  <si>
    <t>Email:</t>
  </si>
  <si>
    <t>BOOKING DETAILS</t>
  </si>
  <si>
    <t>Date:</t>
  </si>
  <si>
    <t>Booking Ref#:</t>
  </si>
  <si>
    <t>160726/Creek/0002</t>
  </si>
  <si>
    <t>Customer ID:</t>
  </si>
  <si>
    <t>ID ART0810-108</t>
  </si>
  <si>
    <t>Payment Terms:</t>
  </si>
  <si>
    <t>Greetings from Sunset BnB Creek! We are delighted to confirm your reservation and look forward to welcoming you. Below are your booking details:</t>
  </si>
  <si>
    <t>Check in</t>
  </si>
  <si>
    <t>Check out</t>
  </si>
  <si>
    <t># of Nights</t>
  </si>
  <si>
    <t># of Guests</t>
  </si>
  <si>
    <t>Payment Terms</t>
  </si>
  <si>
    <t>Cash</t>
  </si>
  <si>
    <t>Nights</t>
  </si>
  <si>
    <t>Room / Rate Description</t>
  </si>
  <si>
    <t>Unit Price / Night</t>
  </si>
  <si>
    <t># of Rooms</t>
  </si>
  <si>
    <t>Line Total
(Price x Rooms x Nights)</t>
  </si>
  <si>
    <t>King Double Room no 101, 102, 104, 201, 202 (2 guest) with breakfast</t>
  </si>
  <si>
    <t>Family Triple room no 103, 203 (3 guest) with breakfast</t>
  </si>
  <si>
    <t>Family Quad room no 105, 205 (4 guest) with breakfast</t>
  </si>
  <si>
    <t>Standard Room no 204</t>
  </si>
  <si>
    <t>Total</t>
  </si>
  <si>
    <t>Special Discount</t>
  </si>
  <si>
    <t>Grand Total</t>
  </si>
  <si>
    <t>Location Details: Sunset BnB Creek, 26/B, Creek Lane No. 1, Popular Avenue, Near Bukhari Park, Phase 7, Defence Housing Authority, Karachi. Map: https://maps.app.goo.gl/1VX3qombH148mqXx9</t>
  </si>
  <si>
    <t>Your comfort is our priority, and we are committed to providing you with an exceptional stay. Should you have any special requests or require further assistance, please do not hesitate to contact us.</t>
  </si>
  <si>
    <t>Amenities included: Complimentary Wi-Fi  |  Daily housekeeping  |  Complimentary Breakfast</t>
  </si>
  <si>
    <t>If you need to modify your booking or have any queries, please feel free to reach out to our reservations team.  Phone / WhatsApp: +92 334 7725555   Email: Reservations@sunsetbb.com   Website: www.sunsetbb.com</t>
  </si>
  <si>
    <t>We look forward to hosting you and making your stay a memorable one.</t>
  </si>
  <si>
    <t>Booking Terms &amp; Conditions – Sunset BnB</t>
  </si>
  <si>
    <t>1. Reservation Confirmation</t>
  </si>
  <si>
    <t>All bookings are confirmed only upon receipt of a deposit (minimum 50% of the total amount) or full payment, as specified in the quote.</t>
  </si>
  <si>
    <t>2. Payment Terms</t>
  </si>
  <si>
    <t>Balance payment must be made on 1st of March 2027 or before. Accepted payment methods: Cash, Bank transfer, credit/debit card, or approved digital wallets.</t>
  </si>
  <si>
    <t>3. Check-in / Check-out</t>
  </si>
  <si>
    <t>Check-in: 2:00 PM onwards. Check-out: 12:00 PM noon. Early check-in/late check-out is subject to availability and may incur additional charges.</t>
  </si>
  <si>
    <t>4. Cancellation Policy</t>
  </si>
  <si>
    <t>Cancellation made 30+ days before arrival: 75% refund of deposit. Cancellation made 14-30 days before arrival: 50% of booking fee retained. Cancellation made within 14 days of arrival: No refund. No-shows will be charged the full amount.</t>
  </si>
  <si>
    <t>5. Amendments</t>
  </si>
  <si>
    <t>Changes to bookings (dates, number of guests, etc.) are subject to availability and must be requested at least 7 days before arrival. Additional charges may apply.</t>
  </si>
  <si>
    <t>6. Guest Responsibilities</t>
  </si>
  <si>
    <t>Guests are responsible for any damage caused to property, furnishings, or equipment during their stay. The management reserves the right to recover the cost of repairs or replacements.</t>
  </si>
  <si>
    <t>7. Maximum Occupancy</t>
  </si>
  <si>
    <t>Each room/booking has a defined maximum occupancy. Additional mattress / occupancy will be charged @ PKR 2,500.00 / per person. Exceeding this without prior approval may result in cancellation of the booking without refund.</t>
  </si>
  <si>
    <t>8. House Rules</t>
  </si>
  <si>
    <t>No smoking inside rooms. Pets are not allowed unless specified. Quiet hours are from 10:00 PM to 7:00 AM.</t>
  </si>
  <si>
    <t>9. Force Majeure</t>
  </si>
  <si>
    <t>Sunset BnB is not liable for cancellations or modifications caused by events beyond our control (natural disasters, government regulations, strikes, pandemics, etc.).</t>
  </si>
  <si>
    <t>10. Acceptance of Terms</t>
  </si>
  <si>
    <t>By confirming the booking and making payment, the guest acknowledges and agrees to the above terms and conditions.</t>
  </si>
  <si>
    <t>11. Tax Note</t>
  </si>
  <si>
    <t>15% tax applies to online payments only. Cash payments are free of Tax.</t>
  </si>
  <si>
    <t>Advance</t>
  </si>
  <si>
    <t>Balance</t>
  </si>
  <si>
    <t>15% Sales Tax</t>
  </si>
  <si>
    <t>50% 30 days before check in</t>
  </si>
  <si>
    <t>50% advance at the time of booking</t>
  </si>
  <si>
    <t xml:space="preserve">Best Regards, </t>
  </si>
  <si>
    <t>Sunset BnB Creek Reservations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</si>
</sst>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m\ yyyy"/>
    <numFmt numFmtId="165" formatCode="&quot;Rs&quot;#,##0.00"/>
  </numFmts>
  <fonts count="16" x14ac:knownFonts="1">
    <font>
      <sz val="11"/>
      <color theme="1"/>
      <name val="Calibri"/>
      <family val="2"/>
      <charset val="1"/>
    </font>
    <font>
      <b/>
      <sz val="18"/>
      <color rgb="FF1F3864"/>
      <name val="Arial"/>
      <charset val="1"/>
    </font>
    <font>
      <i/>
      <sz val="11"/>
      <color rgb="FF808080"/>
      <name val="Arial"/>
      <charset val="1"/>
    </font>
    <font>
      <i/>
      <sz val="9"/>
      <color rgb="FF808080"/>
      <name val="Arial"/>
      <charset val="1"/>
    </font>
    <font>
      <b/>
      <sz val="12"/>
      <color rgb="FFFFFFFF"/>
      <name val="Arial"/>
      <charset val="1"/>
    </font>
    <font>
      <b/>
      <sz val="10"/>
      <name val="Arial"/>
      <charset val="1"/>
    </font>
    <font>
      <i/>
      <sz val="10"/>
      <name val="Arial"/>
      <charset val="1"/>
    </font>
    <font>
      <b/>
      <sz val="10"/>
      <color rgb="FFFFFFFF"/>
      <name val="Arial"/>
      <charset val="1"/>
    </font>
    <font>
      <sz val="10"/>
      <color rgb="FF000000"/>
      <name val="Arial"/>
      <charset val="1"/>
    </font>
    <font>
      <sz val="10"/>
      <name val="Arial"/>
      <charset val="1"/>
    </font>
    <font>
      <b/>
      <sz val="11"/>
      <color rgb="FFFFFFFF"/>
      <name val="Arial"/>
      <charset val="1"/>
    </font>
    <font>
      <b/>
      <sz val="14"/>
      <color rgb="FF1F3864"/>
      <name val="Arial"/>
      <charset val="1"/>
    </font>
    <font>
      <sz val="10"/>
      <color theme="1" tint="4.9989318521683403E-2"/>
      <name val="Arial"/>
      <family val="2"/>
    </font>
    <font>
      <b/>
      <sz val="10"/>
      <color theme="1" tint="4.9989318521683403E-2"/>
      <name val="Arial"/>
      <family val="2"/>
    </font>
    <font>
      <b/>
      <sz val="10"/>
      <name val="Arial"/>
      <family val="2"/>
    </font>
    <font>
      <b/>
      <sz val="10"/>
      <color rgb="FF000000"/>
      <name val="Arial"/>
      <family val="2"/>
    </font>
  </fonts>
  <fills count="7">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D9E2F3"/>
        <bgColor rgb="FFF2F2F2"/>
      </patternFill>
    </fill>
    <fill>
      <patternFill patternType="solid">
        <fgColor rgb="FFF2F2F2"/>
        <bgColor rgb="FFFFFFFF"/>
      </patternFill>
    </fill>
    <fill>
      <patternFill patternType="solid">
        <fgColor theme="0"/>
        <bgColor rgb="FFFFFF0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45">
    <xf numFmtId="0" fontId="0" fillId="0" borderId="0" xfId="0"/>
    <xf numFmtId="0" fontId="5" fillId="0" borderId="0" xfId="0" applyFont="1" applyBorder="1" applyAlignment="1">
      <alignment horizontal="left" vertical="center" wrapText="1"/>
    </xf>
    <xf numFmtId="0" fontId="9" fillId="0" borderId="0" xfId="0" applyFont="1" applyBorder="1" applyAlignment="1">
      <alignment horizontal="left" vertical="center" wrapText="1"/>
    </xf>
    <xf numFmtId="0" fontId="10" fillId="2" borderId="1" xfId="0" applyFont="1" applyFill="1" applyBorder="1" applyAlignment="1">
      <alignment horizontal="right" vertical="center"/>
    </xf>
    <xf numFmtId="0" fontId="5" fillId="4" borderId="2" xfId="0" applyFont="1" applyFill="1" applyBorder="1" applyAlignment="1">
      <alignment horizontal="right" vertical="center"/>
    </xf>
    <xf numFmtId="0" fontId="6" fillId="0" borderId="0" xfId="0" applyFont="1" applyBorder="1" applyAlignment="1">
      <alignment horizontal="left" vertical="center" wrapText="1"/>
    </xf>
    <xf numFmtId="0" fontId="4" fillId="2" borderId="0" xfId="0" applyFont="1" applyFill="1" applyBorder="1" applyAlignment="1">
      <alignment horizontal="left" vertical="center"/>
    </xf>
    <xf numFmtId="0" fontId="3" fillId="0" borderId="0" xfId="0" applyFont="1" applyBorder="1" applyAlignment="1">
      <alignment horizontal="left" vertical="center"/>
    </xf>
    <xf numFmtId="0" fontId="5" fillId="0" borderId="0" xfId="0" applyFont="1" applyAlignment="1">
      <alignment horizontal="left" vertical="center"/>
    </xf>
    <xf numFmtId="0" fontId="7" fillId="3" borderId="1" xfId="0" applyFont="1" applyFill="1" applyBorder="1" applyAlignment="1">
      <alignment horizontal="center" vertical="center" wrapText="1"/>
    </xf>
    <xf numFmtId="0" fontId="5" fillId="4" borderId="2" xfId="0" applyFont="1" applyFill="1" applyBorder="1" applyAlignment="1">
      <alignment horizontal="right" vertical="center"/>
    </xf>
    <xf numFmtId="165" fontId="8" fillId="4" borderId="1" xfId="0" applyNumberFormat="1" applyFont="1" applyFill="1" applyBorder="1" applyAlignment="1">
      <alignment horizontal="right" vertical="center"/>
    </xf>
    <xf numFmtId="0" fontId="9" fillId="4"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165" fontId="10" fillId="2" borderId="1" xfId="0" applyNumberFormat="1" applyFont="1" applyFill="1" applyBorder="1" applyAlignment="1">
      <alignment horizontal="right" vertical="center"/>
    </xf>
    <xf numFmtId="9" fontId="8" fillId="4" borderId="1" xfId="0" applyNumberFormat="1" applyFont="1" applyFill="1" applyBorder="1" applyAlignment="1">
      <alignment horizontal="center" vertical="center" wrapText="1"/>
    </xf>
    <xf numFmtId="0" fontId="11" fillId="0" borderId="0" xfId="0" applyFont="1"/>
    <xf numFmtId="0" fontId="5" fillId="0" borderId="0" xfId="0" applyFont="1"/>
    <xf numFmtId="0" fontId="9" fillId="0" borderId="0" xfId="0" applyFont="1" applyAlignment="1">
      <alignment vertical="top" wrapText="1"/>
    </xf>
    <xf numFmtId="0" fontId="1" fillId="0" borderId="0" xfId="0" applyFont="1" applyBorder="1" applyAlignment="1">
      <alignment horizontal="center" vertical="center"/>
    </xf>
    <xf numFmtId="0" fontId="2" fillId="0" borderId="0" xfId="0" applyFont="1" applyBorder="1" applyAlignment="1">
      <alignment horizontal="center" vertical="center"/>
    </xf>
    <xf numFmtId="0" fontId="14" fillId="4" borderId="2" xfId="0" applyFont="1" applyFill="1" applyBorder="1" applyAlignment="1">
      <alignment horizontal="right" vertical="center"/>
    </xf>
    <xf numFmtId="164" fontId="12" fillId="6" borderId="0" xfId="0" applyNumberFormat="1" applyFont="1" applyFill="1" applyAlignment="1">
      <alignment horizontal="left" vertical="center"/>
    </xf>
    <xf numFmtId="0" fontId="13" fillId="0" borderId="0" xfId="0" applyFont="1" applyAlignment="1">
      <alignment horizontal="right" vertical="center"/>
    </xf>
    <xf numFmtId="0" fontId="12" fillId="6" borderId="0" xfId="0" applyFont="1" applyFill="1" applyBorder="1" applyAlignment="1">
      <alignment horizontal="left" vertical="center"/>
    </xf>
    <xf numFmtId="0" fontId="12" fillId="6" borderId="0" xfId="0" applyFont="1" applyFill="1" applyAlignment="1">
      <alignment horizontal="left" vertical="center"/>
    </xf>
    <xf numFmtId="14" fontId="12" fillId="6" borderId="1" xfId="0" applyNumberFormat="1" applyFont="1" applyFill="1" applyBorder="1" applyAlignment="1">
      <alignment horizontal="center" vertical="center" wrapText="1"/>
    </xf>
    <xf numFmtId="1" fontId="12" fillId="4" borderId="1" xfId="0" applyNumberFormat="1" applyFont="1" applyFill="1" applyBorder="1" applyAlignment="1">
      <alignment horizontal="center" vertical="center" wrapText="1"/>
    </xf>
    <xf numFmtId="1" fontId="12" fillId="6" borderId="1" xfId="0" applyNumberFormat="1" applyFont="1" applyFill="1" applyBorder="1" applyAlignment="1">
      <alignment horizontal="center" vertical="center" wrapText="1"/>
    </xf>
    <xf numFmtId="0" fontId="12" fillId="6"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165" fontId="12" fillId="6" borderId="1" xfId="0" applyNumberFormat="1" applyFont="1" applyFill="1" applyBorder="1" applyAlignment="1">
      <alignment horizontal="right" vertical="center"/>
    </xf>
    <xf numFmtId="165" fontId="12" fillId="5" borderId="1" xfId="0" applyNumberFormat="1" applyFont="1" applyFill="1" applyBorder="1" applyAlignment="1">
      <alignment horizontal="right" vertical="center"/>
    </xf>
    <xf numFmtId="0" fontId="14" fillId="4" borderId="2" xfId="0" applyFont="1" applyFill="1" applyBorder="1" applyAlignment="1">
      <alignment horizontal="right" vertical="center"/>
    </xf>
    <xf numFmtId="165" fontId="13" fillId="5" borderId="1" xfId="0" applyNumberFormat="1" applyFont="1" applyFill="1" applyBorder="1" applyAlignment="1">
      <alignment horizontal="right" vertical="center"/>
    </xf>
    <xf numFmtId="0" fontId="13" fillId="6" borderId="0" xfId="0" applyFont="1" applyFill="1" applyBorder="1" applyAlignment="1">
      <alignment horizontal="left" vertical="center"/>
    </xf>
    <xf numFmtId="165" fontId="15" fillId="4" borderId="1" xfId="0" applyNumberFormat="1" applyFont="1" applyFill="1" applyBorder="1" applyAlignment="1">
      <alignment horizontal="right" vertical="center"/>
    </xf>
    <xf numFmtId="0" fontId="0" fillId="0" borderId="0" xfId="0" applyAlignment="1">
      <alignment horizontal="center"/>
    </xf>
    <xf numFmtId="0" fontId="0" fillId="0" borderId="0" xfId="0" applyAlignment="1">
      <alignment horizontal="left"/>
    </xf>
    <xf numFmtId="0" fontId="0" fillId="0" borderId="0" xfId="0" applyAlignment="1">
      <alignment horizontal="left"/>
    </xf>
    <xf numFmtId="0" fontId="14" fillId="0" borderId="0" xfId="0" applyFont="1" applyBorder="1" applyAlignment="1">
      <alignment horizontal="left" vertical="center" wrapText="1"/>
    </xf>
    <xf numFmtId="0" fontId="11" fillId="0" borderId="0" xfId="0" applyFont="1" applyAlignment="1">
      <alignment horizontal="left"/>
    </xf>
    <xf numFmtId="0" fontId="9" fillId="0" borderId="0" xfId="0" applyFont="1" applyAlignment="1">
      <alignment horizontal="left" vertical="top" wrapText="1"/>
    </xf>
    <xf numFmtId="0" fontId="5" fillId="0" borderId="0" xfId="0" applyFont="1" applyAlignment="1">
      <alignment horizontal="left"/>
    </xf>
    <xf numFmtId="0" fontId="0" fillId="0" borderId="0" xfId="0"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520700</xdr:colOff>
      <xdr:row>1</xdr:row>
      <xdr:rowOff>0</xdr:rowOff>
    </xdr:from>
    <xdr:to>
      <xdr:col>2</xdr:col>
      <xdr:colOff>968375</xdr:colOff>
      <xdr:row>4</xdr:row>
      <xdr:rowOff>114300</xdr:rowOff>
    </xdr:to>
    <xdr:pic>
      <xdr:nvPicPr>
        <xdr:cNvPr id="2" name="Image 1">
          <a:extLst>
            <a:ext uri="{FF2B5EF4-FFF2-40B4-BE49-F238E27FC236}">
              <a16:creationId xmlns:a16="http://schemas.microsoft.com/office/drawing/2014/main" id="{5D1AB3E8-926C-194C-8489-7C4EB5F577C4}"/>
            </a:ext>
          </a:extLst>
        </xdr:cNvPr>
        <xdr:cNvPicPr/>
      </xdr:nvPicPr>
      <xdr:blipFill>
        <a:blip xmlns:r="http://schemas.openxmlformats.org/officeDocument/2006/relationships" r:embed="rId1" cstate="print"/>
        <a:stretch>
          <a:fillRect/>
        </a:stretch>
      </xdr:blipFill>
      <xdr:spPr>
        <a:xfrm>
          <a:off x="520700" y="0"/>
          <a:ext cx="1323975" cy="838200"/>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F111"/>
  <sheetViews>
    <sheetView tabSelected="1" zoomScaleNormal="100" workbookViewId="0">
      <pane ySplit="5" topLeftCell="A6" activePane="bottomLeft" state="frozen"/>
      <selection pane="bottomLeft" activeCell="B40" sqref="B40:F40"/>
    </sheetView>
  </sheetViews>
  <sheetFormatPr baseColWidth="10" defaultColWidth="8.6640625" defaultRowHeight="15" x14ac:dyDescent="0.2"/>
  <cols>
    <col min="1" max="1" width="4.5" customWidth="1"/>
    <col min="2" max="2" width="11.5" customWidth="1"/>
    <col min="3" max="3" width="40" customWidth="1"/>
    <col min="4" max="4" width="15" customWidth="1"/>
    <col min="5" max="5" width="12" customWidth="1"/>
    <col min="6" max="6" width="18" customWidth="1"/>
  </cols>
  <sheetData>
    <row r="2" spans="2:6" ht="27.75" customHeight="1" x14ac:dyDescent="0.2">
      <c r="B2" s="19" t="s">
        <v>0</v>
      </c>
      <c r="C2" s="19"/>
      <c r="D2" s="19"/>
      <c r="E2" s="19"/>
      <c r="F2" s="19"/>
    </row>
    <row r="3" spans="2:6" x14ac:dyDescent="0.2">
      <c r="B3" s="20" t="s">
        <v>1</v>
      </c>
      <c r="C3" s="20"/>
      <c r="D3" s="20"/>
      <c r="E3" s="20"/>
      <c r="F3" s="20"/>
    </row>
    <row r="4" spans="2:6" x14ac:dyDescent="0.2">
      <c r="B4" s="7"/>
      <c r="C4" s="7"/>
      <c r="D4" s="7"/>
      <c r="E4" s="7"/>
      <c r="F4" s="7"/>
    </row>
    <row r="6" spans="2:6" ht="19.5" customHeight="1" x14ac:dyDescent="0.2">
      <c r="B6" s="6" t="s">
        <v>2</v>
      </c>
      <c r="C6" s="6"/>
      <c r="D6" s="6"/>
      <c r="E6" s="6"/>
      <c r="F6" s="6"/>
    </row>
    <row r="7" spans="2:6" x14ac:dyDescent="0.2">
      <c r="B7" s="8" t="s">
        <v>3</v>
      </c>
      <c r="C7" s="35" t="s">
        <v>4</v>
      </c>
      <c r="D7" s="35"/>
      <c r="E7" s="35"/>
      <c r="F7" s="35"/>
    </row>
    <row r="8" spans="2:6" x14ac:dyDescent="0.2">
      <c r="B8" s="8" t="s">
        <v>5</v>
      </c>
      <c r="C8" s="35" t="s">
        <v>6</v>
      </c>
      <c r="D8" s="35"/>
      <c r="E8" s="35"/>
      <c r="F8" s="35"/>
    </row>
    <row r="9" spans="2:6" x14ac:dyDescent="0.2">
      <c r="B9" s="8" t="s">
        <v>7</v>
      </c>
      <c r="C9" s="35" t="s">
        <v>8</v>
      </c>
      <c r="D9" s="35"/>
      <c r="E9" s="35"/>
      <c r="F9" s="35"/>
    </row>
    <row r="10" spans="2:6" x14ac:dyDescent="0.2">
      <c r="B10" s="8" t="s">
        <v>9</v>
      </c>
      <c r="C10" s="24"/>
      <c r="D10" s="24"/>
      <c r="E10" s="24"/>
      <c r="F10" s="24"/>
    </row>
    <row r="11" spans="2:6" ht="19.5" customHeight="1" x14ac:dyDescent="0.2">
      <c r="B11" s="6" t="s">
        <v>10</v>
      </c>
      <c r="C11" s="6"/>
      <c r="D11" s="6"/>
      <c r="E11" s="6"/>
      <c r="F11" s="6"/>
    </row>
    <row r="12" spans="2:6" x14ac:dyDescent="0.2">
      <c r="B12" s="8" t="s">
        <v>11</v>
      </c>
      <c r="C12" s="22">
        <v>46263</v>
      </c>
      <c r="D12" s="23" t="s">
        <v>12</v>
      </c>
      <c r="E12" s="24" t="s">
        <v>13</v>
      </c>
      <c r="F12" s="24"/>
    </row>
    <row r="13" spans="2:6" x14ac:dyDescent="0.2">
      <c r="B13" s="8" t="s">
        <v>14</v>
      </c>
      <c r="C13" s="25" t="s">
        <v>15</v>
      </c>
      <c r="D13" s="23" t="s">
        <v>16</v>
      </c>
      <c r="E13" s="24" t="s">
        <v>68</v>
      </c>
      <c r="F13" s="24"/>
    </row>
    <row r="14" spans="2:6" x14ac:dyDescent="0.2">
      <c r="E14" t="s">
        <v>67</v>
      </c>
    </row>
    <row r="15" spans="2:6" ht="30" customHeight="1" x14ac:dyDescent="0.2">
      <c r="B15" s="5" t="s">
        <v>17</v>
      </c>
      <c r="C15" s="5"/>
      <c r="D15" s="5"/>
      <c r="E15" s="5"/>
      <c r="F15" s="5"/>
    </row>
    <row r="17" spans="2:6" x14ac:dyDescent="0.2">
      <c r="B17" s="9" t="s">
        <v>18</v>
      </c>
      <c r="C17" s="9" t="s">
        <v>19</v>
      </c>
      <c r="D17" s="9" t="s">
        <v>20</v>
      </c>
      <c r="E17" s="9" t="s">
        <v>21</v>
      </c>
      <c r="F17" s="9" t="s">
        <v>22</v>
      </c>
    </row>
    <row r="18" spans="2:6" x14ac:dyDescent="0.2">
      <c r="B18" s="26">
        <v>46465</v>
      </c>
      <c r="C18" s="26">
        <v>46467</v>
      </c>
      <c r="D18" s="27">
        <f>C18-B18</f>
        <v>2</v>
      </c>
      <c r="E18" s="28">
        <v>26</v>
      </c>
      <c r="F18" s="29" t="s">
        <v>23</v>
      </c>
    </row>
    <row r="20" spans="2:6" ht="42" x14ac:dyDescent="0.2">
      <c r="B20" s="9" t="s">
        <v>24</v>
      </c>
      <c r="C20" s="9" t="s">
        <v>25</v>
      </c>
      <c r="D20" s="9" t="s">
        <v>26</v>
      </c>
      <c r="E20" s="9" t="s">
        <v>27</v>
      </c>
      <c r="F20" s="9" t="s">
        <v>28</v>
      </c>
    </row>
    <row r="21" spans="2:6" ht="27.75" customHeight="1" x14ac:dyDescent="0.2">
      <c r="B21" s="28">
        <v>2</v>
      </c>
      <c r="C21" s="30" t="s">
        <v>29</v>
      </c>
      <c r="D21" s="31">
        <v>25000</v>
      </c>
      <c r="E21" s="28">
        <v>5</v>
      </c>
      <c r="F21" s="34">
        <f>D21*E21*B21</f>
        <v>250000</v>
      </c>
    </row>
    <row r="22" spans="2:6" ht="27.75" customHeight="1" x14ac:dyDescent="0.2">
      <c r="B22" s="28">
        <v>2</v>
      </c>
      <c r="C22" s="30" t="s">
        <v>30</v>
      </c>
      <c r="D22" s="31">
        <v>30000</v>
      </c>
      <c r="E22" s="28">
        <v>2</v>
      </c>
      <c r="F22" s="34">
        <f>D22*E22*B22</f>
        <v>120000</v>
      </c>
    </row>
    <row r="23" spans="2:6" ht="27.75" customHeight="1" x14ac:dyDescent="0.2">
      <c r="B23" s="28">
        <v>2</v>
      </c>
      <c r="C23" s="30" t="s">
        <v>31</v>
      </c>
      <c r="D23" s="31">
        <v>40000</v>
      </c>
      <c r="E23" s="28">
        <v>2</v>
      </c>
      <c r="F23" s="34">
        <f>D23*E23*B23</f>
        <v>160000</v>
      </c>
    </row>
    <row r="24" spans="2:6" ht="27.75" customHeight="1" x14ac:dyDescent="0.2">
      <c r="B24" s="28">
        <v>2</v>
      </c>
      <c r="C24" s="30" t="s">
        <v>32</v>
      </c>
      <c r="D24" s="31">
        <v>20000</v>
      </c>
      <c r="E24" s="28">
        <v>1</v>
      </c>
      <c r="F24" s="34">
        <f>D24*E24*B24</f>
        <v>40000</v>
      </c>
    </row>
    <row r="25" spans="2:6" x14ac:dyDescent="0.2">
      <c r="B25" s="28"/>
      <c r="C25" s="30"/>
      <c r="D25" s="31"/>
      <c r="E25" s="28"/>
      <c r="F25" s="32" t="str">
        <f>IF(E25="","",D25*E25*B25)</f>
        <v/>
      </c>
    </row>
    <row r="26" spans="2:6" x14ac:dyDescent="0.2">
      <c r="B26" s="28"/>
      <c r="C26" s="30"/>
      <c r="D26" s="31"/>
      <c r="E26" s="28"/>
      <c r="F26" s="32" t="str">
        <f>IF(E26="","",D26*E26*B26)</f>
        <v/>
      </c>
    </row>
    <row r="27" spans="2:6" x14ac:dyDescent="0.2">
      <c r="B27" s="28"/>
      <c r="C27" s="30"/>
      <c r="D27" s="31"/>
      <c r="E27" s="28"/>
      <c r="F27" s="32" t="str">
        <f>IF(E27="","",D27*E27*B27)</f>
        <v/>
      </c>
    </row>
    <row r="28" spans="2:6" x14ac:dyDescent="0.2">
      <c r="B28" s="4" t="s">
        <v>33</v>
      </c>
      <c r="C28" s="4"/>
      <c r="D28" s="4"/>
      <c r="E28" s="12"/>
      <c r="F28" s="36">
        <f>SUM(F21:F27)</f>
        <v>570000</v>
      </c>
    </row>
    <row r="29" spans="2:6" x14ac:dyDescent="0.2">
      <c r="B29" s="4" t="s">
        <v>34</v>
      </c>
      <c r="C29" s="4"/>
      <c r="D29" s="4"/>
      <c r="E29" s="12"/>
      <c r="F29" s="36">
        <v>70000</v>
      </c>
    </row>
    <row r="30" spans="2:6" x14ac:dyDescent="0.2">
      <c r="B30" s="10"/>
      <c r="C30" s="10"/>
      <c r="D30" s="33" t="s">
        <v>66</v>
      </c>
      <c r="E30" s="12"/>
      <c r="F30" s="36">
        <f>(F28-F29)*15/100</f>
        <v>75000</v>
      </c>
    </row>
    <row r="31" spans="2:6" x14ac:dyDescent="0.2">
      <c r="B31" s="3" t="s">
        <v>35</v>
      </c>
      <c r="C31" s="3"/>
      <c r="D31" s="3"/>
      <c r="E31" s="13"/>
      <c r="F31" s="14">
        <f>F28-F29+F30</f>
        <v>575000</v>
      </c>
    </row>
    <row r="32" spans="2:6" x14ac:dyDescent="0.2">
      <c r="B32" s="21" t="s">
        <v>64</v>
      </c>
      <c r="C32" s="4"/>
      <c r="D32" s="15">
        <v>0.5</v>
      </c>
      <c r="E32" s="12"/>
      <c r="F32" s="11">
        <f>F31*D32</f>
        <v>287500</v>
      </c>
    </row>
    <row r="33" spans="2:6" x14ac:dyDescent="0.2">
      <c r="B33" s="21" t="s">
        <v>65</v>
      </c>
      <c r="C33" s="4"/>
      <c r="D33" s="15">
        <f>1-D32</f>
        <v>0.5</v>
      </c>
      <c r="E33" s="12"/>
      <c r="F33" s="11">
        <f>F31-F32</f>
        <v>287500</v>
      </c>
    </row>
    <row r="35" spans="2:6" ht="30" customHeight="1" x14ac:dyDescent="0.2">
      <c r="B35" s="2" t="s">
        <v>36</v>
      </c>
      <c r="C35" s="2"/>
      <c r="D35" s="2"/>
      <c r="E35" s="2"/>
      <c r="F35" s="2"/>
    </row>
    <row r="36" spans="2:6" x14ac:dyDescent="0.2">
      <c r="B36" s="37"/>
      <c r="C36" s="37"/>
      <c r="D36" s="37"/>
      <c r="E36" s="37"/>
      <c r="F36" s="37"/>
    </row>
    <row r="37" spans="2:6" ht="30" customHeight="1" x14ac:dyDescent="0.2">
      <c r="B37" s="2" t="s">
        <v>37</v>
      </c>
      <c r="C37" s="2"/>
      <c r="D37" s="2"/>
      <c r="E37" s="2"/>
      <c r="F37" s="2"/>
    </row>
    <row r="38" spans="2:6" x14ac:dyDescent="0.2">
      <c r="B38" s="1" t="s">
        <v>38</v>
      </c>
      <c r="C38" s="1"/>
      <c r="D38" s="1"/>
      <c r="E38" s="1"/>
      <c r="F38" s="1"/>
    </row>
    <row r="39" spans="2:6" x14ac:dyDescent="0.2">
      <c r="B39" s="37"/>
      <c r="C39" s="37"/>
      <c r="D39" s="37"/>
      <c r="E39" s="37"/>
      <c r="F39" s="37"/>
    </row>
    <row r="40" spans="2:6" ht="30" customHeight="1" x14ac:dyDescent="0.2">
      <c r="B40" s="2" t="s">
        <v>39</v>
      </c>
      <c r="C40" s="2"/>
      <c r="D40" s="2"/>
      <c r="E40" s="2"/>
      <c r="F40" s="2"/>
    </row>
    <row r="41" spans="2:6" ht="30" customHeight="1" x14ac:dyDescent="0.2">
      <c r="B41" s="5" t="s">
        <v>40</v>
      </c>
      <c r="C41" s="5"/>
      <c r="D41" s="5"/>
      <c r="E41" s="5"/>
      <c r="F41" s="5"/>
    </row>
    <row r="42" spans="2:6" ht="30" customHeight="1" x14ac:dyDescent="0.2">
      <c r="B42" s="40" t="s">
        <v>69</v>
      </c>
      <c r="C42" s="1"/>
      <c r="D42" s="1"/>
      <c r="E42" s="1"/>
      <c r="F42" s="1"/>
    </row>
    <row r="43" spans="2:6" ht="16" customHeight="1" x14ac:dyDescent="0.2">
      <c r="B43" s="40" t="s">
        <v>70</v>
      </c>
      <c r="C43" s="40"/>
      <c r="D43" s="40"/>
      <c r="E43" s="40"/>
      <c r="F43" s="40"/>
    </row>
    <row r="44" spans="2:6" x14ac:dyDescent="0.2">
      <c r="B44" s="38"/>
      <c r="C44" s="38"/>
      <c r="D44" s="38"/>
      <c r="E44" s="38"/>
      <c r="F44" s="38"/>
    </row>
    <row r="45" spans="2:6" ht="18" x14ac:dyDescent="0.2">
      <c r="B45" s="41" t="s">
        <v>41</v>
      </c>
      <c r="C45" s="41"/>
      <c r="D45" s="41"/>
      <c r="E45" s="41"/>
      <c r="F45" s="41"/>
    </row>
    <row r="46" spans="2:6" x14ac:dyDescent="0.2">
      <c r="B46" s="38"/>
      <c r="C46" s="38"/>
      <c r="D46" s="38"/>
      <c r="E46" s="38"/>
      <c r="F46" s="38"/>
    </row>
    <row r="47" spans="2:6" x14ac:dyDescent="0.2">
      <c r="B47" s="43" t="s">
        <v>42</v>
      </c>
      <c r="C47" s="43"/>
      <c r="D47" s="43"/>
      <c r="E47" s="43"/>
      <c r="F47" s="43"/>
    </row>
    <row r="48" spans="2:6" x14ac:dyDescent="0.2">
      <c r="B48" s="42" t="s">
        <v>43</v>
      </c>
      <c r="C48" s="42"/>
      <c r="D48" s="42"/>
      <c r="E48" s="42"/>
      <c r="F48" s="42"/>
    </row>
    <row r="49" spans="2:6" x14ac:dyDescent="0.2">
      <c r="B49" s="38"/>
      <c r="C49" s="38"/>
      <c r="D49" s="38"/>
      <c r="E49" s="38"/>
      <c r="F49" s="38"/>
    </row>
    <row r="50" spans="2:6" x14ac:dyDescent="0.2">
      <c r="B50" s="43" t="s">
        <v>44</v>
      </c>
      <c r="C50" s="43"/>
      <c r="D50" s="43"/>
      <c r="E50" s="43"/>
      <c r="F50" s="43"/>
    </row>
    <row r="51" spans="2:6" x14ac:dyDescent="0.2">
      <c r="B51" s="42" t="s">
        <v>45</v>
      </c>
      <c r="C51" s="42"/>
      <c r="D51" s="42"/>
      <c r="E51" s="42"/>
      <c r="F51" s="42"/>
    </row>
    <row r="52" spans="2:6" x14ac:dyDescent="0.2">
      <c r="B52" s="37"/>
      <c r="C52" s="37"/>
      <c r="D52" s="37"/>
      <c r="E52" s="37"/>
      <c r="F52" s="37"/>
    </row>
    <row r="53" spans="2:6" x14ac:dyDescent="0.2">
      <c r="B53" s="43" t="s">
        <v>46</v>
      </c>
      <c r="C53" s="43"/>
      <c r="D53" s="43"/>
      <c r="E53" s="43"/>
      <c r="F53" s="43"/>
    </row>
    <row r="54" spans="2:6" x14ac:dyDescent="0.2">
      <c r="B54" s="42" t="s">
        <v>47</v>
      </c>
      <c r="C54" s="42"/>
      <c r="D54" s="42"/>
      <c r="E54" s="42"/>
      <c r="F54" s="42"/>
    </row>
    <row r="55" spans="2:6" x14ac:dyDescent="0.2">
      <c r="B55" s="37"/>
      <c r="C55" s="37"/>
      <c r="D55" s="37"/>
      <c r="E55" s="37"/>
      <c r="F55" s="37"/>
    </row>
    <row r="56" spans="2:6" x14ac:dyDescent="0.2">
      <c r="B56" s="17" t="s">
        <v>48</v>
      </c>
      <c r="C56" s="44"/>
      <c r="D56" s="44"/>
      <c r="E56" s="44"/>
      <c r="F56" s="44"/>
    </row>
    <row r="57" spans="2:6" x14ac:dyDescent="0.2">
      <c r="B57" s="42" t="s">
        <v>49</v>
      </c>
      <c r="C57" s="42"/>
      <c r="D57" s="42"/>
      <c r="E57" s="42"/>
      <c r="F57" s="42"/>
    </row>
    <row r="58" spans="2:6" x14ac:dyDescent="0.2">
      <c r="B58" s="37"/>
      <c r="C58" s="37"/>
      <c r="D58" s="37"/>
      <c r="E58" s="37"/>
      <c r="F58" s="37"/>
    </row>
    <row r="59" spans="2:6" x14ac:dyDescent="0.2">
      <c r="B59" s="43" t="s">
        <v>50</v>
      </c>
      <c r="C59" s="43"/>
      <c r="D59" s="43"/>
      <c r="E59" s="43"/>
      <c r="F59" s="43"/>
    </row>
    <row r="60" spans="2:6" x14ac:dyDescent="0.2">
      <c r="B60" s="42" t="s">
        <v>51</v>
      </c>
      <c r="C60" s="42"/>
      <c r="D60" s="42"/>
      <c r="E60" s="42"/>
      <c r="F60" s="42"/>
    </row>
    <row r="61" spans="2:6" x14ac:dyDescent="0.2">
      <c r="B61" s="37"/>
      <c r="C61" s="37"/>
      <c r="D61" s="37"/>
      <c r="E61" s="37"/>
      <c r="F61" s="37"/>
    </row>
    <row r="62" spans="2:6" x14ac:dyDescent="0.2">
      <c r="B62" s="17" t="s">
        <v>52</v>
      </c>
      <c r="C62" s="39"/>
      <c r="D62" s="39"/>
      <c r="E62" s="39"/>
      <c r="F62" s="39"/>
    </row>
    <row r="63" spans="2:6" x14ac:dyDescent="0.2">
      <c r="B63" s="42" t="s">
        <v>53</v>
      </c>
      <c r="C63" s="42"/>
      <c r="D63" s="42"/>
      <c r="E63" s="42"/>
      <c r="F63" s="42"/>
    </row>
    <row r="64" spans="2:6" x14ac:dyDescent="0.2">
      <c r="B64" s="37"/>
      <c r="C64" s="37"/>
      <c r="D64" s="37"/>
      <c r="E64" s="37"/>
      <c r="F64" s="37"/>
    </row>
    <row r="65" spans="2:6" x14ac:dyDescent="0.2">
      <c r="B65" s="43" t="s">
        <v>54</v>
      </c>
      <c r="C65" s="43"/>
      <c r="D65" s="43"/>
      <c r="E65" s="43"/>
      <c r="F65" s="43"/>
    </row>
    <row r="66" spans="2:6" ht="32" customHeight="1" x14ac:dyDescent="0.2">
      <c r="B66" s="42" t="s">
        <v>55</v>
      </c>
      <c r="C66" s="42"/>
      <c r="D66" s="42"/>
      <c r="E66" s="42"/>
      <c r="F66" s="42"/>
    </row>
    <row r="67" spans="2:6" x14ac:dyDescent="0.2">
      <c r="B67" s="37"/>
      <c r="C67" s="37"/>
      <c r="D67" s="37"/>
      <c r="E67" s="37"/>
      <c r="F67" s="37"/>
    </row>
    <row r="68" spans="2:6" x14ac:dyDescent="0.2">
      <c r="B68" s="43" t="s">
        <v>56</v>
      </c>
      <c r="C68" s="43"/>
      <c r="D68" s="43"/>
      <c r="E68" s="43"/>
      <c r="F68" s="43"/>
    </row>
    <row r="69" spans="2:6" x14ac:dyDescent="0.2">
      <c r="B69" s="42" t="s">
        <v>57</v>
      </c>
      <c r="C69" s="42"/>
      <c r="D69" s="42"/>
      <c r="E69" s="42"/>
      <c r="F69" s="42"/>
    </row>
    <row r="70" spans="2:6" x14ac:dyDescent="0.2">
      <c r="B70" s="37"/>
      <c r="C70" s="37"/>
      <c r="D70" s="37"/>
      <c r="E70" s="37"/>
      <c r="F70" s="37"/>
    </row>
    <row r="71" spans="2:6" x14ac:dyDescent="0.2">
      <c r="B71" s="43" t="s">
        <v>58</v>
      </c>
      <c r="C71" s="43"/>
      <c r="D71" s="43"/>
      <c r="E71" s="43"/>
      <c r="F71" s="43"/>
    </row>
    <row r="72" spans="2:6" x14ac:dyDescent="0.2">
      <c r="B72" s="42" t="s">
        <v>59</v>
      </c>
      <c r="C72" s="42"/>
      <c r="D72" s="42"/>
      <c r="E72" s="42"/>
      <c r="F72" s="42"/>
    </row>
    <row r="73" spans="2:6" x14ac:dyDescent="0.2">
      <c r="B73" s="38"/>
      <c r="C73" s="38"/>
      <c r="D73" s="38"/>
      <c r="E73" s="38"/>
      <c r="F73" s="38"/>
    </row>
    <row r="74" spans="2:6" x14ac:dyDescent="0.2">
      <c r="B74" s="43" t="s">
        <v>60</v>
      </c>
      <c r="C74" s="43"/>
      <c r="D74" s="43"/>
      <c r="E74" s="43"/>
      <c r="F74" s="43"/>
    </row>
    <row r="75" spans="2:6" x14ac:dyDescent="0.2">
      <c r="B75" s="42" t="s">
        <v>61</v>
      </c>
      <c r="C75" s="42"/>
      <c r="D75" s="42"/>
      <c r="E75" s="42"/>
      <c r="F75" s="42"/>
    </row>
    <row r="76" spans="2:6" x14ac:dyDescent="0.2">
      <c r="B76" s="37"/>
      <c r="C76" s="37"/>
      <c r="D76" s="37"/>
      <c r="E76" s="37"/>
      <c r="F76" s="37"/>
    </row>
    <row r="77" spans="2:6" x14ac:dyDescent="0.2">
      <c r="B77" s="43" t="s">
        <v>62</v>
      </c>
      <c r="C77" s="43"/>
      <c r="D77" s="43"/>
      <c r="E77" s="43"/>
      <c r="F77" s="43"/>
    </row>
    <row r="78" spans="2:6" x14ac:dyDescent="0.2">
      <c r="B78" s="42" t="s">
        <v>63</v>
      </c>
      <c r="C78" s="42"/>
      <c r="D78" s="42"/>
      <c r="E78" s="42"/>
      <c r="F78" s="42"/>
    </row>
    <row r="79" spans="2:6" x14ac:dyDescent="0.2">
      <c r="B79" s="39"/>
      <c r="C79" s="39"/>
      <c r="D79" s="39"/>
      <c r="E79" s="39"/>
      <c r="F79" s="39"/>
    </row>
    <row r="80" spans="2:6" x14ac:dyDescent="0.2">
      <c r="B80" s="39"/>
      <c r="C80" s="39"/>
      <c r="D80" s="39"/>
      <c r="E80" s="39"/>
      <c r="F80" s="39"/>
    </row>
    <row r="81" spans="2:6" x14ac:dyDescent="0.2">
      <c r="B81" s="39"/>
      <c r="C81" s="39"/>
      <c r="D81" s="39"/>
      <c r="E81" s="39"/>
      <c r="F81" s="39"/>
    </row>
    <row r="82" spans="2:6" x14ac:dyDescent="0.2">
      <c r="B82" s="39"/>
      <c r="C82" s="39"/>
      <c r="D82" s="39"/>
      <c r="E82" s="39"/>
      <c r="F82" s="39"/>
    </row>
    <row r="83" spans="2:6" x14ac:dyDescent="0.2">
      <c r="B83" s="39"/>
      <c r="C83" s="39"/>
      <c r="D83" s="39"/>
      <c r="E83" s="39"/>
      <c r="F83" s="39"/>
    </row>
    <row r="84" spans="2:6" x14ac:dyDescent="0.2">
      <c r="B84" s="39"/>
      <c r="C84" s="39"/>
      <c r="D84" s="39"/>
      <c r="E84" s="39"/>
      <c r="F84" s="39"/>
    </row>
    <row r="85" spans="2:6" x14ac:dyDescent="0.2">
      <c r="B85" s="39"/>
      <c r="C85" s="39"/>
      <c r="D85" s="39"/>
      <c r="E85" s="39"/>
      <c r="F85" s="39"/>
    </row>
    <row r="86" spans="2:6" x14ac:dyDescent="0.2">
      <c r="B86" s="39"/>
      <c r="C86" s="39"/>
      <c r="D86" s="39"/>
      <c r="E86" s="39"/>
      <c r="F86" s="39"/>
    </row>
    <row r="87" spans="2:6" x14ac:dyDescent="0.2">
      <c r="B87" s="39"/>
      <c r="C87" s="39"/>
      <c r="D87" s="39"/>
      <c r="E87" s="39"/>
      <c r="F87" s="39"/>
    </row>
    <row r="88" spans="2:6" x14ac:dyDescent="0.2">
      <c r="B88" s="39"/>
      <c r="C88" s="39"/>
      <c r="D88" s="39"/>
      <c r="E88" s="39"/>
      <c r="F88" s="39"/>
    </row>
    <row r="89" spans="2:6" x14ac:dyDescent="0.2">
      <c r="B89" s="39"/>
      <c r="C89" s="39"/>
      <c r="D89" s="39"/>
      <c r="E89" s="39"/>
      <c r="F89" s="39"/>
    </row>
    <row r="90" spans="2:6" x14ac:dyDescent="0.2">
      <c r="B90" s="39"/>
      <c r="C90" s="39"/>
      <c r="D90" s="39"/>
      <c r="E90" s="39"/>
      <c r="F90" s="39"/>
    </row>
    <row r="91" spans="2:6" x14ac:dyDescent="0.2">
      <c r="B91" s="39"/>
      <c r="C91" s="39"/>
      <c r="D91" s="39"/>
      <c r="E91" s="39"/>
      <c r="F91" s="39"/>
    </row>
    <row r="92" spans="2:6" x14ac:dyDescent="0.2">
      <c r="B92" s="39"/>
      <c r="C92" s="39"/>
      <c r="D92" s="39"/>
      <c r="E92" s="39"/>
      <c r="F92" s="39"/>
    </row>
    <row r="93" spans="2:6" x14ac:dyDescent="0.2">
      <c r="B93" s="39"/>
      <c r="C93" s="39"/>
      <c r="D93" s="39"/>
      <c r="E93" s="39"/>
      <c r="F93" s="39"/>
    </row>
    <row r="94" spans="2:6" x14ac:dyDescent="0.2">
      <c r="B94" s="39"/>
      <c r="C94" s="39"/>
      <c r="D94" s="39"/>
      <c r="E94" s="39"/>
      <c r="F94" s="39"/>
    </row>
    <row r="95" spans="2:6" x14ac:dyDescent="0.2">
      <c r="B95" s="39"/>
      <c r="C95" s="39"/>
      <c r="D95" s="39"/>
      <c r="E95" s="39"/>
      <c r="F95" s="39"/>
    </row>
    <row r="96" spans="2:6" x14ac:dyDescent="0.2">
      <c r="B96" s="39"/>
      <c r="C96" s="39"/>
      <c r="D96" s="39"/>
      <c r="E96" s="39"/>
      <c r="F96" s="39"/>
    </row>
    <row r="97" spans="2:6" x14ac:dyDescent="0.2">
      <c r="B97" s="39"/>
      <c r="C97" s="39"/>
      <c r="D97" s="39"/>
      <c r="E97" s="39"/>
      <c r="F97" s="39"/>
    </row>
    <row r="98" spans="2:6" x14ac:dyDescent="0.2">
      <c r="B98" s="39"/>
      <c r="C98" s="39"/>
      <c r="D98" s="39"/>
      <c r="E98" s="39"/>
      <c r="F98" s="39"/>
    </row>
    <row r="99" spans="2:6" x14ac:dyDescent="0.2">
      <c r="B99" s="39"/>
      <c r="C99" s="39"/>
      <c r="D99" s="39"/>
      <c r="E99" s="39"/>
      <c r="F99" s="39"/>
    </row>
    <row r="100" spans="2:6" x14ac:dyDescent="0.2">
      <c r="B100" s="39"/>
      <c r="C100" s="39"/>
      <c r="D100" s="39"/>
      <c r="E100" s="39"/>
      <c r="F100" s="39"/>
    </row>
    <row r="101" spans="2:6" x14ac:dyDescent="0.2">
      <c r="B101" s="39"/>
      <c r="C101" s="39"/>
      <c r="D101" s="39"/>
      <c r="E101" s="39"/>
      <c r="F101" s="39"/>
    </row>
    <row r="102" spans="2:6" x14ac:dyDescent="0.2">
      <c r="B102" s="39"/>
      <c r="C102" s="39"/>
      <c r="D102" s="39"/>
      <c r="E102" s="39"/>
      <c r="F102" s="39"/>
    </row>
    <row r="103" spans="2:6" x14ac:dyDescent="0.2">
      <c r="B103" s="39"/>
      <c r="C103" s="39"/>
      <c r="D103" s="39"/>
      <c r="E103" s="39"/>
      <c r="F103" s="39"/>
    </row>
    <row r="104" spans="2:6" x14ac:dyDescent="0.2">
      <c r="B104" s="39"/>
      <c r="C104" s="39"/>
      <c r="D104" s="39"/>
      <c r="E104" s="39"/>
      <c r="F104" s="39"/>
    </row>
    <row r="105" spans="2:6" x14ac:dyDescent="0.2">
      <c r="B105" s="39"/>
      <c r="C105" s="39"/>
      <c r="D105" s="39"/>
      <c r="E105" s="39"/>
      <c r="F105" s="39"/>
    </row>
    <row r="106" spans="2:6" x14ac:dyDescent="0.2">
      <c r="B106" s="39"/>
      <c r="C106" s="39"/>
      <c r="D106" s="39"/>
      <c r="E106" s="39"/>
      <c r="F106" s="39"/>
    </row>
    <row r="107" spans="2:6" x14ac:dyDescent="0.2">
      <c r="B107" s="39"/>
      <c r="C107" s="39"/>
      <c r="D107" s="39"/>
      <c r="E107" s="39"/>
      <c r="F107" s="39"/>
    </row>
    <row r="108" spans="2:6" x14ac:dyDescent="0.2">
      <c r="B108" s="39"/>
      <c r="C108" s="39"/>
      <c r="D108" s="39"/>
      <c r="E108" s="39"/>
      <c r="F108" s="39"/>
    </row>
    <row r="109" spans="2:6" x14ac:dyDescent="0.2">
      <c r="B109" s="39"/>
      <c r="C109" s="39"/>
      <c r="D109" s="39"/>
      <c r="E109" s="39"/>
      <c r="F109" s="39"/>
    </row>
    <row r="110" spans="2:6" x14ac:dyDescent="0.2">
      <c r="B110" s="39"/>
      <c r="C110" s="39"/>
      <c r="D110" s="39"/>
      <c r="E110" s="39"/>
      <c r="F110" s="39"/>
    </row>
    <row r="111" spans="2:6" x14ac:dyDescent="0.2">
      <c r="B111" s="39"/>
      <c r="C111" s="39"/>
      <c r="D111" s="39"/>
      <c r="E111" s="39"/>
      <c r="F111" s="39"/>
    </row>
  </sheetData>
  <mergeCells count="59">
    <mergeCell ref="B78:F78"/>
    <mergeCell ref="B46:F46"/>
    <mergeCell ref="B44:F44"/>
    <mergeCell ref="B36:F36"/>
    <mergeCell ref="B39:F39"/>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7:F57"/>
    <mergeCell ref="B59:F59"/>
    <mergeCell ref="B60:F60"/>
    <mergeCell ref="B61:F61"/>
    <mergeCell ref="B58:F58"/>
    <mergeCell ref="B51:F51"/>
    <mergeCell ref="B52:F52"/>
    <mergeCell ref="B53:F53"/>
    <mergeCell ref="B54:F54"/>
    <mergeCell ref="B55:F55"/>
    <mergeCell ref="B45:F45"/>
    <mergeCell ref="B48:F48"/>
    <mergeCell ref="B47:F47"/>
    <mergeCell ref="B49:F49"/>
    <mergeCell ref="B50:F50"/>
    <mergeCell ref="B40:F40"/>
    <mergeCell ref="B41:F41"/>
    <mergeCell ref="B42:F42"/>
    <mergeCell ref="B43:F43"/>
    <mergeCell ref="B32:C32"/>
    <mergeCell ref="B33:C33"/>
    <mergeCell ref="B35:F35"/>
    <mergeCell ref="B37:F37"/>
    <mergeCell ref="B38:F38"/>
    <mergeCell ref="E13:F13"/>
    <mergeCell ref="B15:F15"/>
    <mergeCell ref="B28:D28"/>
    <mergeCell ref="B29:D29"/>
    <mergeCell ref="B31:D31"/>
    <mergeCell ref="C8:F8"/>
    <mergeCell ref="C9:F9"/>
    <mergeCell ref="C10:F10"/>
    <mergeCell ref="B11:F11"/>
    <mergeCell ref="E12:F12"/>
    <mergeCell ref="B2:F2"/>
    <mergeCell ref="B3:F3"/>
    <mergeCell ref="B4:F4"/>
    <mergeCell ref="B6:F6"/>
    <mergeCell ref="C7:F7"/>
  </mergeCells>
  <pageMargins left="0.4" right="0.4" top="0.4" bottom="0.4" header="0.511811023622047" footer="0.511811023622047"/>
  <pageSetup scale="94"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34"/>
  <sheetViews>
    <sheetView zoomScaleNormal="100" workbookViewId="0">
      <selection sqref="A1:A34"/>
    </sheetView>
  </sheetViews>
  <sheetFormatPr baseColWidth="10" defaultColWidth="8.6640625" defaultRowHeight="15" x14ac:dyDescent="0.2"/>
  <cols>
    <col min="1" max="1" width="100" customWidth="1"/>
  </cols>
  <sheetData>
    <row r="1" spans="1:1" ht="21.75" customHeight="1" x14ac:dyDescent="0.2">
      <c r="A1" s="16" t="s">
        <v>41</v>
      </c>
    </row>
    <row r="3" spans="1:1" x14ac:dyDescent="0.2">
      <c r="A3" s="17" t="s">
        <v>42</v>
      </c>
    </row>
    <row r="4" spans="1:1" ht="30" customHeight="1" x14ac:dyDescent="0.2">
      <c r="A4" s="18" t="s">
        <v>43</v>
      </c>
    </row>
    <row r="6" spans="1:1" x14ac:dyDescent="0.2">
      <c r="A6" s="17" t="s">
        <v>44</v>
      </c>
    </row>
    <row r="7" spans="1:1" ht="30" customHeight="1" x14ac:dyDescent="0.2">
      <c r="A7" s="18" t="s">
        <v>45</v>
      </c>
    </row>
    <row r="9" spans="1:1" x14ac:dyDescent="0.2">
      <c r="A9" s="17" t="s">
        <v>46</v>
      </c>
    </row>
    <row r="10" spans="1:1" ht="30" customHeight="1" x14ac:dyDescent="0.2">
      <c r="A10" s="18" t="s">
        <v>47</v>
      </c>
    </row>
    <row r="12" spans="1:1" x14ac:dyDescent="0.2">
      <c r="A12" s="17" t="s">
        <v>48</v>
      </c>
    </row>
    <row r="13" spans="1:1" ht="30" customHeight="1" x14ac:dyDescent="0.2">
      <c r="A13" s="18" t="s">
        <v>49</v>
      </c>
    </row>
    <row r="15" spans="1:1" x14ac:dyDescent="0.2">
      <c r="A15" s="17" t="s">
        <v>50</v>
      </c>
    </row>
    <row r="16" spans="1:1" ht="30" customHeight="1" x14ac:dyDescent="0.2">
      <c r="A16" s="18" t="s">
        <v>51</v>
      </c>
    </row>
    <row r="18" spans="1:1" x14ac:dyDescent="0.2">
      <c r="A18" s="17" t="s">
        <v>52</v>
      </c>
    </row>
    <row r="19" spans="1:1" ht="30" customHeight="1" x14ac:dyDescent="0.2">
      <c r="A19" s="18" t="s">
        <v>53</v>
      </c>
    </row>
    <row r="21" spans="1:1" x14ac:dyDescent="0.2">
      <c r="A21" s="17" t="s">
        <v>54</v>
      </c>
    </row>
    <row r="22" spans="1:1" ht="30" customHeight="1" x14ac:dyDescent="0.2">
      <c r="A22" s="18" t="s">
        <v>55</v>
      </c>
    </row>
    <row r="24" spans="1:1" x14ac:dyDescent="0.2">
      <c r="A24" s="17" t="s">
        <v>56</v>
      </c>
    </row>
    <row r="25" spans="1:1" ht="30" customHeight="1" x14ac:dyDescent="0.2">
      <c r="A25" s="18" t="s">
        <v>57</v>
      </c>
    </row>
    <row r="27" spans="1:1" x14ac:dyDescent="0.2">
      <c r="A27" s="17" t="s">
        <v>58</v>
      </c>
    </row>
    <row r="28" spans="1:1" ht="30" customHeight="1" x14ac:dyDescent="0.2">
      <c r="A28" s="18" t="s">
        <v>59</v>
      </c>
    </row>
    <row r="30" spans="1:1" x14ac:dyDescent="0.2">
      <c r="A30" s="17" t="s">
        <v>60</v>
      </c>
    </row>
    <row r="31" spans="1:1" ht="30" customHeight="1" x14ac:dyDescent="0.2">
      <c r="A31" s="18" t="s">
        <v>61</v>
      </c>
    </row>
    <row r="33" spans="1:1" x14ac:dyDescent="0.2">
      <c r="A33" s="17" t="s">
        <v>62</v>
      </c>
    </row>
    <row r="34" spans="1:1" ht="30" customHeight="1" x14ac:dyDescent="0.2">
      <c r="A34" s="18" t="s">
        <v>63</v>
      </c>
    </row>
  </sheetData>
  <pageMargins left="0.5" right="0.5" top="0.5" bottom="0.5"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Booking Quotation</vt:lpstr>
      <vt:lpstr>Terms &amp; Conditions</vt:lpstr>
      <vt:lpstr>'Booking Quotation'!Print_Area</vt:lpstr>
      <vt:lpstr>'Terms &amp; Conditions'!Print_Area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0</cp:revision>
  <dcterms:created xsi:type="dcterms:W3CDTF">2026-08-31T08:23:59Z</dcterms:created>
  <dcterms:modified xsi:type="dcterms:W3CDTF">2026-08-31T08:54:31Z</dcterms:modified>
  <dc:language>en-US</dc:language>
</cp:coreProperties>
</file>